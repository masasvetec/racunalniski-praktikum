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12089\RP\racunalniski-praktikum\10-razpredelnice\"/>
    </mc:Choice>
  </mc:AlternateContent>
  <xr:revisionPtr revIDLastSave="0" documentId="13_ncr:1_{C7DE7849-DE12-48C3-A9FE-FBD9BCB4ED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37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4" l="1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G5" i="4"/>
  <c r="H5" i="4" s="1"/>
  <c r="G17" i="4"/>
  <c r="H17" i="4" s="1"/>
  <c r="H3" i="4"/>
  <c r="F21" i="4"/>
  <c r="G21" i="4" s="1"/>
  <c r="H21" i="4" s="1"/>
  <c r="F5" i="4"/>
  <c r="F6" i="4"/>
  <c r="G6" i="4" s="1"/>
  <c r="H6" i="4" s="1"/>
  <c r="F7" i="4"/>
  <c r="G7" i="4" s="1"/>
  <c r="H7" i="4" s="1"/>
  <c r="F8" i="4"/>
  <c r="G8" i="4" s="1"/>
  <c r="H8" i="4" s="1"/>
  <c r="F9" i="4"/>
  <c r="G9" i="4" s="1"/>
  <c r="H9" i="4" s="1"/>
  <c r="F10" i="4"/>
  <c r="G10" i="4" s="1"/>
  <c r="H10" i="4" s="1"/>
  <c r="F11" i="4"/>
  <c r="G11" i="4" s="1"/>
  <c r="H11" i="4" s="1"/>
  <c r="F12" i="4"/>
  <c r="G12" i="4" s="1"/>
  <c r="H12" i="4" s="1"/>
  <c r="F13" i="4"/>
  <c r="G13" i="4" s="1"/>
  <c r="H13" i="4" s="1"/>
  <c r="F14" i="4"/>
  <c r="G14" i="4" s="1"/>
  <c r="H14" i="4" s="1"/>
  <c r="F15" i="4"/>
  <c r="G15" i="4" s="1"/>
  <c r="H15" i="4" s="1"/>
  <c r="F16" i="4"/>
  <c r="G16" i="4" s="1"/>
  <c r="H16" i="4" s="1"/>
  <c r="F17" i="4"/>
  <c r="F18" i="4"/>
  <c r="G18" i="4" s="1"/>
  <c r="H18" i="4" s="1"/>
  <c r="F19" i="4"/>
  <c r="G19" i="4" s="1"/>
  <c r="H19" i="4" s="1"/>
  <c r="F20" i="4"/>
  <c r="G20" i="4" s="1"/>
  <c r="H20" i="4" s="1"/>
  <c r="F4" i="4"/>
  <c r="G4" i="4" s="1"/>
  <c r="H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<sst xmlns="http://schemas.openxmlformats.org/spreadsheetml/2006/main" count="19" uniqueCount="18">
  <si>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</si>
  <si>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</si>
  <si>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</si>
  <si>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</si>
  <si>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</si>
  <si>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</si>
  <si>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</si>
  <si>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</si>
  <si>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</si>
  <si>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</si>
  <si>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</si>
  <si>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</si>
  <si>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</si>
  <si>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</si>
  <si>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</si>
  <si>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</si>
  <si>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Column Labels</t>
  </si>
  <si>
    <t>Skupaj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</si>
</sst>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\ &quot;€/l&quot;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12">
    <dxf>
      <numFmt numFmtId="2" formatCode="0.00"/>
    </dxf>
    <dxf>
      <numFmt numFmtId="0" formatCode="General"/>
    </dxf>
    <dxf>
      <numFmt numFmtId="2" formatCode="0.00"/>
    </dxf>
    <dxf>
      <numFmt numFmtId="2" formatCode="0.0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  <dxf>
      <numFmt numFmtId="0" formatCode="General"/>
    </dxf>
    <dxf>
      <numFmt numFmtId="0" formatCode="General"/>
    </dxf>
    <dxf>
      <numFmt numFmtId="165" formatCode="d/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tec, Maša" refreshedDate="45999.79963425926" createdVersion="7" refreshedVersion="7" minRefreshableVersion="3" recordCount="19" xr:uid="{8AF4585D-11A8-4851-8FAC-3A749FFC13C3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0">
      <sharedItems containsNonDate="0" containsString="0" containsBlank="1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23" maxValue="8.1008968609865484" count="19">
        <s v=""/>
        <n v="7.006514657980456"/>
        <n v="6.3136363636363644"/>
        <n v="6.6097087378640769"/>
        <n v="6.8640776699029127"/>
        <n v="6.3103953147877023"/>
        <n v="6.9544626593806917"/>
        <n v="7.0103448275862066"/>
        <n v="6.9821746880570412"/>
        <n v="7.1563055062166967"/>
        <n v="6.6466774716369521"/>
        <n v="6.8851851851851844"/>
        <n v="6.9331103678929766"/>
        <n v="7.5726315789473686"/>
        <n v="7.2819548872180455"/>
        <n v="8.1008968609865484"/>
        <n v="7.2251407129455911"/>
        <n v="6.4518272425249172"/>
        <n v="7.1578044596912509"/>
      </sharedItems>
    </cacheField>
    <cacheField name="Prikaz" numFmtId="2">
      <sharedItems containsMixedTypes="1" containsNumber="1" minValue="6.3103953147877023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m/>
    <n v="41907"/>
    <x v="0"/>
    <x v="0"/>
    <s v=""/>
  </r>
  <r>
    <x v="1"/>
    <n v="43.02"/>
    <m/>
    <n v="42521"/>
    <x v="1"/>
    <x v="1"/>
    <n v="7.006514657980456"/>
  </r>
  <r>
    <x v="2"/>
    <n v="41.67"/>
    <m/>
    <n v="43181"/>
    <x v="2"/>
    <x v="2"/>
    <n v="6.3136363636363644"/>
  </r>
  <r>
    <x v="3"/>
    <n v="34.04"/>
    <m/>
    <n v="43696"/>
    <x v="3"/>
    <x v="3"/>
    <n v="6.6097087378640769"/>
  </r>
  <r>
    <x v="4"/>
    <n v="42.42"/>
    <m/>
    <n v="44314"/>
    <x v="4"/>
    <x v="4"/>
    <n v="6.8640776699029127"/>
  </r>
  <r>
    <x v="5"/>
    <n v="43.1"/>
    <m/>
    <n v="44997"/>
    <x v="5"/>
    <x v="5"/>
    <n v="6.3103953147877023"/>
  </r>
  <r>
    <x v="6"/>
    <n v="38.18"/>
    <m/>
    <n v="45546"/>
    <x v="6"/>
    <x v="6"/>
    <n v="6.9544626593806917"/>
  </r>
  <r>
    <x v="7"/>
    <n v="40.659999999999997"/>
    <m/>
    <n v="46126"/>
    <x v="7"/>
    <x v="7"/>
    <n v="7.0103448275862066"/>
  </r>
  <r>
    <x v="8"/>
    <n v="39.17"/>
    <m/>
    <n v="46687"/>
    <x v="8"/>
    <x v="8"/>
    <n v="6.9821746880570412"/>
  </r>
  <r>
    <x v="9"/>
    <n v="40.29"/>
    <m/>
    <n v="47250"/>
    <x v="9"/>
    <x v="9"/>
    <n v="7.1563055062166967"/>
  </r>
  <r>
    <x v="10"/>
    <n v="41.01"/>
    <m/>
    <n v="47867"/>
    <x v="10"/>
    <x v="10"/>
    <n v="6.6466774716369521"/>
  </r>
  <r>
    <x v="11"/>
    <n v="37.18"/>
    <m/>
    <n v="48407"/>
    <x v="11"/>
    <x v="11"/>
    <n v="6.8851851851851844"/>
  </r>
  <r>
    <x v="12"/>
    <n v="41.46"/>
    <m/>
    <n v="49005"/>
    <x v="12"/>
    <x v="12"/>
    <n v="6.9331103678929766"/>
  </r>
  <r>
    <x v="13"/>
    <n v="35.97"/>
    <m/>
    <n v="49480"/>
    <x v="13"/>
    <x v="13"/>
    <n v="7.5726315789473686"/>
  </r>
  <r>
    <x v="14"/>
    <n v="38.74"/>
    <m/>
    <n v="50012"/>
    <x v="14"/>
    <x v="14"/>
    <n v="7.2819548872180455"/>
  </r>
  <r>
    <x v="15"/>
    <n v="36.130000000000003"/>
    <m/>
    <n v="50458"/>
    <x v="15"/>
    <x v="15"/>
    <n v="8.1008968609865484"/>
  </r>
  <r>
    <x v="16"/>
    <n v="38.51"/>
    <m/>
    <n v="50991"/>
    <x v="16"/>
    <x v="16"/>
    <n v="7.2251407129455911"/>
  </r>
  <r>
    <x v="17"/>
    <n v="38.840000000000003"/>
    <m/>
    <n v="51593"/>
    <x v="17"/>
    <x v="17"/>
    <n v="6.4518272425249172"/>
  </r>
  <r>
    <x v="18"/>
    <n v="41.73"/>
    <m/>
    <n v="52176"/>
    <x v="18"/>
    <x v="18"/>
    <n v="7.15780445969125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4937F4-E8FD-49D7-BAC7-789D11044565}" name="PivotTable20" cacheId="37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B23:H26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showAll="0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default"/>
      </items>
    </pivotField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2">
    <field x="7"/>
    <field x="0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1">
    <dataField name="Skupaj km" fld="4" baseField="7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4C5B71E-FC31-5C41-A064-103F27749A97}" uniqueName="1" name="Datum" queryTableFieldId="1" dataDxfId="11"/>
    <tableColumn id="2" xr3:uid="{6DC2697C-FCB3-8A47-945B-8CD05834AA8C}" uniqueName="2" name="Litri" queryTableFieldId="2" dataDxfId="2"/>
    <tableColumn id="3" xr3:uid="{19DBC541-3ADF-4E48-8786-6E42DA219788}" uniqueName="3" name="Plačano" queryTableFieldId="3" dataDxfId="0"/>
    <tableColumn id="4" xr3:uid="{3238A9AD-2FC0-0E49-9EE3-7019C05B366B}" uniqueName="4" name="Števec" queryTableFieldId="4" dataDxfId="1"/>
    <tableColumn id="5" xr3:uid="{E0B5480D-9C8F-CA4C-941D-AE9FDE0CDFDC}" uniqueName="5" name="Prevoženo" queryTableFieldId="5" dataDxfId="10"/>
    <tableColumn id="6" xr3:uid="{1DEAFC6B-8470-6742-BAB3-957B7429D133}" uniqueName="6" name="Poraba" queryTableFieldId="6" dataDxfId="9"/>
    <tableColumn id="11" xr3:uid="{911769A8-5CFE-8245-A64B-38797D90A3B5}" uniqueName="11" name="Prikaz" queryTableFieldId="11" dataDxfId="3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8" tableBorderDxfId="7" totalsRowBorderDxfId="6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5"/>
    <tableColumn id="2" xr3:uid="{079EA12A-47EB-F54A-8E37-30D8BCE75150}" name="Bencin" dataDxfId="4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26"/>
  <sheetViews>
    <sheetView tabSelected="1" zoomScaleNormal="100" workbookViewId="0">
      <selection activeCell="B24" sqref="B24"/>
    </sheetView>
  </sheetViews>
  <sheetFormatPr defaultColWidth="11.42578125" defaultRowHeight="15" x14ac:dyDescent="0.25"/>
  <cols>
    <col min="1" max="1" width="3.85546875" customWidth="1"/>
    <col min="2" max="2" width="10" bestFit="1" customWidth="1"/>
    <col min="3" max="3" width="16.28515625" bestFit="1" customWidth="1"/>
    <col min="4" max="4" width="5.85546875" bestFit="1" customWidth="1"/>
    <col min="5" max="5" width="5.28515625" bestFit="1" customWidth="1"/>
    <col min="6" max="6" width="6.28515625" bestFit="1" customWidth="1"/>
    <col min="7" max="7" width="6.85546875" bestFit="1" customWidth="1"/>
    <col min="8" max="8" width="5.85546875" bestFit="1" customWidth="1"/>
    <col min="9" max="9" width="11.28515625" bestFit="1" customWidth="1"/>
    <col min="10" max="10" width="11.85546875" bestFit="1" customWidth="1"/>
    <col min="11" max="11" width="10.71093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3">
        <f>INDEX(Table3[Bencin],MATCH(realna_poraba_cupra__2[[#This Row],[Datum]],Table3[Veljavnost],1))*C3</f>
        <v>58.296720000000001</v>
      </c>
      <c r="E3" s="2">
        <v>41907</v>
      </c>
      <c r="F3" t="s">
        <v>4</v>
      </c>
      <c r="G3" t="s">
        <v>4</v>
      </c>
      <c r="H3" s="3" t="str">
        <f>realna_poraba_cupra__2[[#This Row],[Poraba]]</f>
        <v/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3">
        <f>INDEX(Table3[Bencin],MATCH(realna_poraba_cupra__2[[#This Row],[Datum]],Table3[Veljavnost],1))*C4</f>
        <v>59.797800000000002</v>
      </c>
      <c r="E4" s="2">
        <v>42521</v>
      </c>
      <c r="F4" s="2">
        <f>realna_poraba_cupra__2[[#This Row],[Števec]]-E3</f>
        <v>614</v>
      </c>
      <c r="G4" s="3">
        <f>100*(realna_poraba_cupra__2[[#This Row],[Litri]]/realna_poraba_cupra__2[[#This Row],[Prevoženo]])</f>
        <v>7.006514657980456</v>
      </c>
      <c r="H4" s="3">
        <f>realna_poraba_cupra__2[[#This Row],[Poraba]]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3">
        <f>INDEX(Table3[Bencin],MATCH(realna_poraba_cupra__2[[#This Row],[Datum]],Table3[Veljavnost],1))*C5</f>
        <v>57.921299999999995</v>
      </c>
      <c r="E5" s="2">
        <v>43181</v>
      </c>
      <c r="F5" s="2">
        <f>realna_poraba_cupra__2[[#This Row],[Števec]]-E4</f>
        <v>660</v>
      </c>
      <c r="G5" s="3">
        <f>100*(realna_poraba_cupra__2[[#This Row],[Litri]]/realna_poraba_cupra__2[[#This Row],[Prevoženo]])</f>
        <v>6.3136363636363644</v>
      </c>
      <c r="H5" s="3">
        <f>realna_poraba_cupra__2[[#This Row],[Poraba]]</f>
        <v>6.3136363636363644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3">
        <f>INDEX(Table3[Bencin],MATCH(realna_poraba_cupra__2[[#This Row],[Datum]],Table3[Veljavnost],1))*C6</f>
        <v>47.043279999999996</v>
      </c>
      <c r="E6" s="2">
        <v>43696</v>
      </c>
      <c r="F6" s="2">
        <f>realna_poraba_cupra__2[[#This Row],[Števec]]-E5</f>
        <v>515</v>
      </c>
      <c r="G6" s="3">
        <f>100*(realna_poraba_cupra__2[[#This Row],[Litri]]/realna_poraba_cupra__2[[#This Row],[Prevoženo]])</f>
        <v>6.6097087378640769</v>
      </c>
      <c r="H6" s="3">
        <f>realna_poraba_cupra__2[[#This Row],[Poraba]]</f>
        <v>6.6097087378640769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3">
        <f>INDEX(Table3[Bencin],MATCH(realna_poraba_cupra__2[[#This Row],[Datum]],Table3[Veljavnost],1))*C7</f>
        <v>59.897039999999997</v>
      </c>
      <c r="E7" s="2">
        <v>44314</v>
      </c>
      <c r="F7" s="2">
        <f>realna_poraba_cupra__2[[#This Row],[Števec]]-E6</f>
        <v>618</v>
      </c>
      <c r="G7" s="3">
        <f>100*(realna_poraba_cupra__2[[#This Row],[Litri]]/realna_poraba_cupra__2[[#This Row],[Prevoženo]])</f>
        <v>6.8640776699029127</v>
      </c>
      <c r="H7" s="3">
        <f>realna_poraba_cupra__2[[#This Row],[Poraba]]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3">
        <f>INDEX(Table3[Bencin],MATCH(realna_poraba_cupra__2[[#This Row],[Datum]],Table3[Veljavnost],1))*C8</f>
        <v>60.857199999999999</v>
      </c>
      <c r="E8" s="2">
        <v>44997</v>
      </c>
      <c r="F8" s="2">
        <f>realna_poraba_cupra__2[[#This Row],[Števec]]-E7</f>
        <v>683</v>
      </c>
      <c r="G8" s="3">
        <f>100*(realna_poraba_cupra__2[[#This Row],[Litri]]/realna_poraba_cupra__2[[#This Row],[Prevoženo]])</f>
        <v>6.3103953147877023</v>
      </c>
      <c r="H8" s="3">
        <f>realna_poraba_cupra__2[[#This Row],[Poraba]]</f>
        <v>6.3103953147877023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3">
        <f>INDEX(Table3[Bencin],MATCH(realna_poraba_cupra__2[[#This Row],[Datum]],Table3[Veljavnost],1))*C9</f>
        <v>54.368319999999997</v>
      </c>
      <c r="E9" s="2">
        <v>45546</v>
      </c>
      <c r="F9" s="2">
        <f>realna_poraba_cupra__2[[#This Row],[Števec]]-E8</f>
        <v>549</v>
      </c>
      <c r="G9" s="3">
        <f>100*(realna_poraba_cupra__2[[#This Row],[Litri]]/realna_poraba_cupra__2[[#This Row],[Prevoženo]])</f>
        <v>6.9544626593806917</v>
      </c>
      <c r="H9" s="3">
        <f>realna_poraba_cupra__2[[#This Row],[Poraba]]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3">
        <f>INDEX(Table3[Bencin],MATCH(realna_poraba_cupra__2[[#This Row],[Datum]],Table3[Veljavnost],1))*C10</f>
        <v>58.713039999999992</v>
      </c>
      <c r="E10" s="2">
        <v>46126</v>
      </c>
      <c r="F10" s="2">
        <f>realna_poraba_cupra__2[[#This Row],[Števec]]-E9</f>
        <v>580</v>
      </c>
      <c r="G10" s="3">
        <f>100*(realna_poraba_cupra__2[[#This Row],[Litri]]/realna_poraba_cupra__2[[#This Row],[Prevoženo]])</f>
        <v>7.0103448275862066</v>
      </c>
      <c r="H10" s="3">
        <f>realna_poraba_cupra__2[[#This Row],[Poraba]]</f>
        <v>7.0103448275862066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3">
        <f>INDEX(Table3[Bencin],MATCH(realna_poraba_cupra__2[[#This Row],[Datum]],Table3[Veljavnost],1))*C11</f>
        <v>56.561480000000003</v>
      </c>
      <c r="E11" s="2">
        <v>46687</v>
      </c>
      <c r="F11" s="2">
        <f>realna_poraba_cupra__2[[#This Row],[Števec]]-E10</f>
        <v>561</v>
      </c>
      <c r="G11" s="3">
        <f>100*(realna_poraba_cupra__2[[#This Row],[Litri]]/realna_poraba_cupra__2[[#This Row],[Prevoženo]])</f>
        <v>6.9821746880570412</v>
      </c>
      <c r="H11" s="3">
        <f>realna_poraba_cupra__2[[#This Row],[Poraba]]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3">
        <f>INDEX(Table3[Bencin],MATCH(realna_poraba_cupra__2[[#This Row],[Datum]],Table3[Veljavnost],1))*C12</f>
        <v>58.662239999999997</v>
      </c>
      <c r="E12" s="2">
        <v>47250</v>
      </c>
      <c r="F12" s="2">
        <f>realna_poraba_cupra__2[[#This Row],[Števec]]-E11</f>
        <v>563</v>
      </c>
      <c r="G12" s="3">
        <f>100*(realna_poraba_cupra__2[[#This Row],[Litri]]/realna_poraba_cupra__2[[#This Row],[Prevoženo]])</f>
        <v>7.1563055062166967</v>
      </c>
      <c r="H12" s="3">
        <f>realna_poraba_cupra__2[[#This Row],[Poraba]]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3">
        <f>INDEX(Table3[Bencin],MATCH(realna_poraba_cupra__2[[#This Row],[Datum]],Table3[Veljavnost],1))*C13</f>
        <v>59.710559999999994</v>
      </c>
      <c r="E13" s="2">
        <v>47867</v>
      </c>
      <c r="F13" s="2">
        <f>realna_poraba_cupra__2[[#This Row],[Števec]]-E12</f>
        <v>617</v>
      </c>
      <c r="G13" s="3">
        <f>100*(realna_poraba_cupra__2[[#This Row],[Litri]]/realna_poraba_cupra__2[[#This Row],[Prevoženo]])</f>
        <v>6.6466774716369521</v>
      </c>
      <c r="H13" s="3">
        <f>realna_poraba_cupra__2[[#This Row],[Poraba]]</f>
        <v>6.6466774716369521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3">
        <f>INDEX(Table3[Bencin],MATCH(realna_poraba_cupra__2[[#This Row],[Datum]],Table3[Veljavnost],1))*C14</f>
        <v>56.178979999999996</v>
      </c>
      <c r="E14" s="2">
        <v>48407</v>
      </c>
      <c r="F14" s="2">
        <f>realna_poraba_cupra__2[[#This Row],[Števec]]-E13</f>
        <v>540</v>
      </c>
      <c r="G14" s="3">
        <f>100*(realna_poraba_cupra__2[[#This Row],[Litri]]/realna_poraba_cupra__2[[#This Row],[Prevoženo]])</f>
        <v>6.8851851851851844</v>
      </c>
      <c r="H14" s="3">
        <f>realna_poraba_cupra__2[[#This Row],[Poraba]]</f>
        <v>6.8851851851851844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3">
        <f>INDEX(Table3[Bencin],MATCH(realna_poraba_cupra__2[[#This Row],[Datum]],Table3[Veljavnost],1))*C15</f>
        <v>62.646059999999999</v>
      </c>
      <c r="E15" s="2">
        <v>49005</v>
      </c>
      <c r="F15" s="2">
        <f>realna_poraba_cupra__2[[#This Row],[Števec]]-E14</f>
        <v>598</v>
      </c>
      <c r="G15" s="3">
        <f>100*(realna_poraba_cupra__2[[#This Row],[Litri]]/realna_poraba_cupra__2[[#This Row],[Prevoženo]])</f>
        <v>6.9331103678929766</v>
      </c>
      <c r="H15" s="3">
        <f>realna_poraba_cupra__2[[#This Row],[Poraba]]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3">
        <f>INDEX(Table3[Bencin],MATCH(realna_poraba_cupra__2[[#This Row],[Datum]],Table3[Veljavnost],1))*C16</f>
        <v>55.537680000000002</v>
      </c>
      <c r="E16" s="2">
        <v>49480</v>
      </c>
      <c r="F16" s="2">
        <f>realna_poraba_cupra__2[[#This Row],[Števec]]-E15</f>
        <v>475</v>
      </c>
      <c r="G16" s="3">
        <f>100*(realna_poraba_cupra__2[[#This Row],[Litri]]/realna_poraba_cupra__2[[#This Row],[Prevoženo]])</f>
        <v>7.5726315789473686</v>
      </c>
      <c r="H16" s="3">
        <f>realna_poraba_cupra__2[[#This Row],[Poraba]]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3">
        <f>INDEX(Table3[Bencin],MATCH(realna_poraba_cupra__2[[#This Row],[Datum]],Table3[Veljavnost],1))*C17</f>
        <v>60.085740000000001</v>
      </c>
      <c r="E17" s="2">
        <v>50012</v>
      </c>
      <c r="F17" s="2">
        <f>realna_poraba_cupra__2[[#This Row],[Števec]]-E16</f>
        <v>532</v>
      </c>
      <c r="G17" s="3">
        <f>100*(realna_poraba_cupra__2[[#This Row],[Litri]]/realna_poraba_cupra__2[[#This Row],[Prevoženo]])</f>
        <v>7.2819548872180455</v>
      </c>
      <c r="H17" s="3">
        <f>realna_poraba_cupra__2[[#This Row],[Poraba]]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3">
        <f>INDEX(Table3[Bencin],MATCH(realna_poraba_cupra__2[[#This Row],[Datum]],Table3[Veljavnost],1))*C18</f>
        <v>56.03763</v>
      </c>
      <c r="E18" s="2">
        <v>50458</v>
      </c>
      <c r="F18" s="2">
        <f>realna_poraba_cupra__2[[#This Row],[Števec]]-E17</f>
        <v>446</v>
      </c>
      <c r="G18" s="3">
        <f>100*(realna_poraba_cupra__2[[#This Row],[Litri]]/realna_poraba_cupra__2[[#This Row],[Prevoženo]])</f>
        <v>8.1008968609865484</v>
      </c>
      <c r="H18" s="3">
        <f>realna_poraba_cupra__2[[#This Row],[Poraba]]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3">
        <f>INDEX(Table3[Bencin],MATCH(realna_poraba_cupra__2[[#This Row],[Datum]],Table3[Veljavnost],1))*C19</f>
        <v>61.153880000000001</v>
      </c>
      <c r="E19" s="2">
        <v>50991</v>
      </c>
      <c r="F19" s="2">
        <f>realna_poraba_cupra__2[[#This Row],[Števec]]-E18</f>
        <v>533</v>
      </c>
      <c r="G19" s="3">
        <f>100*(realna_poraba_cupra__2[[#This Row],[Litri]]/realna_poraba_cupra__2[[#This Row],[Prevoženo]])</f>
        <v>7.2251407129455911</v>
      </c>
      <c r="H19" s="3">
        <f>realna_poraba_cupra__2[[#This Row],[Poraba]]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3">
        <f>INDEX(Table3[Bencin],MATCH(realna_poraba_cupra__2[[#This Row],[Datum]],Table3[Veljavnost],1))*C20</f>
        <v>61.677920000000007</v>
      </c>
      <c r="E20" s="2">
        <v>51593</v>
      </c>
      <c r="F20" s="2">
        <f>realna_poraba_cupra__2[[#This Row],[Števec]]-E19</f>
        <v>602</v>
      </c>
      <c r="G20" s="3">
        <f>100*(realna_poraba_cupra__2[[#This Row],[Litri]]/realna_poraba_cupra__2[[#This Row],[Prevoženo]])</f>
        <v>6.4518272425249172</v>
      </c>
      <c r="H20" s="3">
        <f>realna_poraba_cupra__2[[#This Row],[Poraba]]</f>
        <v>6.4518272425249172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3">
        <f>INDEX(Table3[Bencin],MATCH(realna_poraba_cupra__2[[#This Row],[Datum]],Table3[Veljavnost],1))*C21</f>
        <v>64.097279999999998</v>
      </c>
      <c r="E21" s="2">
        <v>52176</v>
      </c>
      <c r="F21" s="2">
        <f>realna_poraba_cupra__2[[#This Row],[Števec]]-E20</f>
        <v>583</v>
      </c>
      <c r="G21" s="3">
        <f>100*(realna_poraba_cupra__2[[#This Row],[Litri]]/realna_poraba_cupra__2[[#This Row],[Prevoženo]])</f>
        <v>7.1578044596912509</v>
      </c>
      <c r="H21" s="3">
        <f>realna_poraba_cupra__2[[#This Row],[Poraba]]</f>
        <v>7.1578044596912509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C23" s="6" t="s">
        <v>16</v>
      </c>
      <c r="J23" s="1">
        <v>45209</v>
      </c>
      <c r="K23" s="4">
        <v>1.536</v>
      </c>
    </row>
    <row r="24" spans="2:11" x14ac:dyDescent="0.25"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6" spans="2:11" x14ac:dyDescent="0.25">
      <c r="B26" t="s">
        <v>17</v>
      </c>
      <c r="C26" s="5">
        <v>1789</v>
      </c>
      <c r="D26" s="5">
        <v>1850</v>
      </c>
      <c r="E26" s="5">
        <v>2321</v>
      </c>
      <c r="F26" s="5">
        <v>1138</v>
      </c>
      <c r="G26" s="5">
        <v>1986</v>
      </c>
      <c r="H26" s="5">
        <v>1185</v>
      </c>
    </row>
  </sheetData>
  <conditionalFormatting sqref="H4:H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{98A1898B-63E5-467F-9A2B-2DE8EEF0B7CC}</x14:id>
        </ext>
      </extLst>
    </cfRule>
  </conditionalFormatting>
  <pageMargins left="0.7" right="0.7" top="0.75" bottom="0.75" header="0.3" footer="0.3"/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8A1898B-63E5-467F-9A2B-2DE8EEF0B7CC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H4:H21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Svetec, Maša</cp:lastModifiedBy>
  <dcterms:created xsi:type="dcterms:W3CDTF">2007-10-01T06:54:22Z</dcterms:created>
  <dcterms:modified xsi:type="dcterms:W3CDTF">2025-12-08T18:28:27Z</dcterms:modified>
</cp:coreProperties>
</file>