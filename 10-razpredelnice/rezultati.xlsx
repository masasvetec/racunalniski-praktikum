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12089\RP\racunalniski-praktikum\10-razpredelnice\"/>
    </mc:Choice>
  </mc:AlternateContent>
  <xr:revisionPtr revIDLastSave="0" documentId="13_ncr:1_{A6F3DF50-009A-4A22-8832-D7B5D2F662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2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4" i="1"/>
  <c r="J3" i="1"/>
  <c r="I5" i="1"/>
  <c r="I4" i="1"/>
  <c r="I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<sst xmlns="http://schemas.openxmlformats.org/spreadsheetml/2006/main" count="105" uniqueCount="71">
  <si>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</si>
  <si>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</si>
  <si>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</si>
  <si>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</si>
  <si>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</si>
  <si>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</si>
  <si>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</si>
  <si>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</si>
  <si>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</si>
  <si>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</si>
  <si>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</si>
  <si>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</si>
  <si>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</si>
  <si>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</si>
  <si>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</si>
  <si>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</si>
  <si>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</si>
  <si>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</si>
  <si>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</si>
  <si>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</si>
  <si>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</si>
  <si>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</si>
  <si>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</si>
  <si>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</si>
  <si>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</si>
  <si>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</si>
  <si>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</si>
  <si>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</si>
  <si>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</si>
  <si>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</si>
  <si>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</si>
  <si>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</si>
  <si>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</si>
  <si>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</si>
  <si>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</si>
  <si>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</si>
  <si>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</si>
  <si>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</si>
  <si>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</si>
  <si>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</si>
  <si>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</si>
  <si>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</si>
  <si>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</si>
  <si>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</si>
  <si>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</si>
  <si>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</si>
  <si>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</si>
  <si>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</si>
  <si>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</si>
  <si>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</si>
  <si>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</si>
  <si>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</si>
  <si>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</si>
  <si>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</si>
  <si>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</si>
  <si>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</si>
  <si>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</si>
  <si>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</si>
  <si>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</si>
  <si>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</si>
  <si>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</si>
  <si>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</si>
  <si>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</si>
  <si>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</si>
  <si>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</si>
  <si>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</si>
  <si>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Row Labels</t>
  </si>
  <si>
    <t>Grand Total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</si>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</sst>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</a:t>
            </a:r>
            <a:r>
              <a:rPr lang="en-US" baseline="0"/>
              <a:t> skupin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27094537253828"/>
          <c:y val="0.28952612741589123"/>
          <c:w val="0.67966102721513744"/>
          <c:h val="0.60331138153185393"/>
        </c:manualLayout>
      </c:layout>
      <c:pie3D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559-4376-AD25-F522113B7D73}"/>
              </c:ext>
            </c:extLst>
          </c:dPt>
          <c:dPt>
            <c:idx val="1"/>
            <c:bubble3D val="0"/>
            <c:explosion val="31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559-4376-AD25-F522113B7D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59-4376-AD25-F522113B7D73}"/>
              </c:ext>
            </c:extLst>
          </c:dPt>
          <c:dLbls>
            <c:dLbl>
              <c:idx val="0"/>
              <c:layout>
                <c:manualLayout>
                  <c:x val="-1.6270559930008748E-2"/>
                  <c:y val="-3.4474336541265672E-2"/>
                </c:manualLayout>
              </c:layout>
              <c:tx>
                <c:rich>
                  <a:bodyPr/>
                  <a:lstStyle/>
                  <a:p>
                    <a:fld id="{B93F11D0-E0AF-4944-A63D-A8001AAA5322}" type="VALUE">
                      <a:rPr lang="en-US"/>
                      <a:pPr/>
                      <a:t>[VALUE]</a:t>
                    </a:fld>
                    <a:endParaRPr lang="en-SI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559-4376-AD25-F522113B7D73}"/>
                </c:ext>
              </c:extLst>
            </c:dLbl>
            <c:dLbl>
              <c:idx val="1"/>
              <c:layout>
                <c:manualLayout>
                  <c:x val="-6.0296806649168852E-2"/>
                  <c:y val="-5.536599591717702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559-4376-AD25-F522113B7D73}"/>
                </c:ext>
              </c:extLst>
            </c:dLbl>
            <c:dLbl>
              <c:idx val="2"/>
              <c:layout>
                <c:manualLayout>
                  <c:x val="5.5929571303587056E-3"/>
                  <c:y val="-4.002770487022455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559-4376-AD25-F522113B7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9-4376-AD25-F522113B7D7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</a:t>
            </a:r>
            <a:r>
              <a:rPr lang="en-US" baseline="0"/>
              <a:t> točk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A-484B-855F-CFF44318AFD0}"/>
            </c:ext>
          </c:extLst>
        </c:ser>
        <c:ser>
          <c:idx val="2"/>
          <c:order val="2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A-484B-855F-CFF44318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390112"/>
        <c:axId val="18163905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'Rezultati'!$I$2</c15:sqref>
                        </c15:formulaRef>
                      </c:ext>
                    </c:extLst>
                    <c:strCache>
                      <c:ptCount val="1"/>
                      <c:pt idx="0">
                        <c:v>Udeležba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'Rezultati'!$H$3:$H$5</c15:sqref>
                        </c15:formulaRef>
                      </c:ext>
                    </c:extLst>
                    <c:strCache>
                      <c:ptCount val="3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'Rezultati'!$I$3:$I$5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</c:v>
                      </c:pt>
                      <c:pt idx="1">
                        <c:v>12</c:v>
                      </c:pt>
                      <c:pt idx="2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EA-484B-855F-CFF44318AFD0}"/>
                  </c:ext>
                </c:extLst>
              </c15:ser>
            </c15:filteredBarSeries>
          </c:ext>
        </c:extLst>
      </c:barChart>
      <c:catAx>
        <c:axId val="181639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816390528"/>
        <c:crosses val="autoZero"/>
        <c:auto val="1"/>
        <c:lblAlgn val="ctr"/>
        <c:lblOffset val="100"/>
        <c:noMultiLvlLbl val="0"/>
      </c:catAx>
      <c:valAx>
        <c:axId val="18163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8163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9</xdr:row>
      <xdr:rowOff>180975</xdr:rowOff>
    </xdr:from>
    <xdr:to>
      <xdr:col>11</xdr:col>
      <xdr:colOff>638177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83D8B-8F6F-4B67-8A88-4D2ED357C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22</xdr:row>
      <xdr:rowOff>23812</xdr:rowOff>
    </xdr:from>
    <xdr:to>
      <xdr:col>12</xdr:col>
      <xdr:colOff>1</xdr:colOff>
      <xdr:row>33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0EFB47-0D76-4A3C-BFFB-C313AD803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ec, Maša" refreshedDate="45999.752314814818" createdVersion="7" refreshedVersion="7" minRefreshableVersion="3" recordCount="28" xr:uid="{C4D1A07D-2F3D-4741-86CB-698C7A19AA1B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FCFD6-21CF-4042-AAF0-9138114D4BD0}" name="PivotTable1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7:L11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2" baseItem="0"/>
    <dataField name="Povprečje" fld="3" subtotal="average" baseField="2" baseItem="0"/>
    <dataField name="Maksimum" fld="3" subtotal="max" baseField="2" baseItem="0"/>
    <dataField name="Minimum" fld="3" subtotal="min" baseField="2" baseItem="0"/>
  </dataFields>
  <formats count="2">
    <format dxfId="12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1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Row],[Točke]]&gt;50,"da","ne")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14">
      <calculatedColumnFormula>COUNTIF(Rezultati[Skupina],"A")</calculatedColumnFormula>
    </tableColumn>
    <tableColumn id="3" xr3:uid="{49F9352C-9597-4E44-8122-AF1CE6CE856F}" name="2022" dataDxfId="13">
      <calculatedColumnFormula>AVERAGEIF(Rezultati[Skupina],"A",Rezultati[Točke])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P20" sqref="P20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>IF(Rezultati[[#This Row],[Točke]]&gt;50,"da","ne")</f>
        <v>ne</v>
      </c>
      <c r="H3" t="s">
        <v>9</v>
      </c>
      <c r="I3">
        <f>COUNTIF(Rezultati[Skupina],"A")</f>
        <v>9</v>
      </c>
      <c r="J3" s="1">
        <f>AVERAGEIF(Rezultati[Skupina],"A",Rezultati[Točke])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 s="5">
        <v>39</v>
      </c>
      <c r="F4" t="str">
        <f>IF(Rezultati[[#This Row],[Točke]]&gt;50,"da","ne")</f>
        <v>ne</v>
      </c>
      <c r="H4" t="s">
        <v>12</v>
      </c>
      <c r="I4">
        <f>COUNTIF(Rezultati[Skupina],"B")</f>
        <v>12</v>
      </c>
      <c r="J4" s="1">
        <f>AVERAGEIF(Rezultati[Skupina],"B",Rezultati[Točke])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 s="5">
        <v>36</v>
      </c>
      <c r="F5" t="str">
        <f>IF(Rezultati[[#This Row],[Točke]]&gt;50,"da","ne")</f>
        <v>ne</v>
      </c>
      <c r="H5" t="s">
        <v>15</v>
      </c>
      <c r="I5">
        <f>COUNTIF(Rezultati[Skupina],"C")</f>
        <v>7</v>
      </c>
      <c r="J5" s="1">
        <f>AVERAGEIF(Rezultati[Skupina],"C",Rezultati[Točke])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>IF(Rezultati[[#This Row],[Točke]]&gt;50,"da","ne")</f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>IF(Rezultati[[#This Row],[Točke]]&gt;50,"da","ne")</f>
        <v>da</v>
      </c>
      <c r="H7" s="2" t="s">
        <v>66</v>
      </c>
      <c r="I7" t="s">
        <v>6</v>
      </c>
      <c r="J7" t="s">
        <v>68</v>
      </c>
      <c r="K7" t="s">
        <v>69</v>
      </c>
      <c r="L7" t="s">
        <v>70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>IF(Rezultati[[#This Row],[Točke]]&gt;50,"da","ne")</f>
        <v>da</v>
      </c>
      <c r="H8" s="3" t="s">
        <v>9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>IF(Rezultati[[#This Row],[Točke]]&gt;50,"da","ne")</f>
        <v>da</v>
      </c>
      <c r="H9" s="3" t="s">
        <v>12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25">
      <c r="B10" s="5" t="s">
        <v>41</v>
      </c>
      <c r="C10" s="5" t="s">
        <v>42</v>
      </c>
      <c r="D10" t="s">
        <v>15</v>
      </c>
      <c r="E10" s="5">
        <v>26</v>
      </c>
      <c r="F10" t="str">
        <f>IF(Rezultati[[#This Row],[Točke]]&gt;50,"da","ne")</f>
        <v>ne</v>
      </c>
      <c r="H10" s="3" t="s">
        <v>15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25">
      <c r="B11" s="5" t="s">
        <v>13</v>
      </c>
      <c r="C11" s="5" t="s">
        <v>14</v>
      </c>
      <c r="D11" t="s">
        <v>12</v>
      </c>
      <c r="E11" s="5">
        <v>44</v>
      </c>
      <c r="F11" t="str">
        <f>IF(Rezultati[[#This Row],[Točke]]&gt;50,"da","ne")</f>
        <v>ne</v>
      </c>
      <c r="H11" s="3" t="s">
        <v>67</v>
      </c>
      <c r="I11" s="4">
        <v>28</v>
      </c>
      <c r="J11" s="1">
        <v>59.142857142857146</v>
      </c>
      <c r="K11" s="4">
        <v>100</v>
      </c>
      <c r="L11" s="4">
        <v>26</v>
      </c>
    </row>
    <row r="12" spans="2:12" x14ac:dyDescent="0.25">
      <c r="B12" s="5" t="s">
        <v>16</v>
      </c>
      <c r="C12" s="5" t="s">
        <v>17</v>
      </c>
      <c r="D12" t="s">
        <v>15</v>
      </c>
      <c r="E12" s="5">
        <v>34</v>
      </c>
      <c r="F12" t="str">
        <f>IF(Rezultati[[#This Row],[Točke]]&gt;50,"da","ne")</f>
        <v>ne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>IF(Rezultati[[#This Row],[Točke]]&gt;50,"da","ne")</f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>IF(Rezultati[[#This Row],[Točke]]&gt;50,"da","ne")</f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>IF(Rezultati[[#This Row],[Točke]]&gt;50,"da","ne")</f>
        <v>da</v>
      </c>
    </row>
    <row r="16" spans="2:12" x14ac:dyDescent="0.25">
      <c r="B16" s="5" t="s">
        <v>20</v>
      </c>
      <c r="C16" s="5" t="s">
        <v>21</v>
      </c>
      <c r="D16" t="s">
        <v>9</v>
      </c>
      <c r="E16" s="5">
        <v>42</v>
      </c>
      <c r="F16" t="str">
        <f>IF(Rezultati[[#This Row],[Točke]]&gt;50,"da","ne")</f>
        <v>ne</v>
      </c>
    </row>
    <row r="17" spans="2:6" x14ac:dyDescent="0.25">
      <c r="B17" s="5" t="s">
        <v>47</v>
      </c>
      <c r="C17" s="5" t="s">
        <v>48</v>
      </c>
      <c r="D17" t="s">
        <v>15</v>
      </c>
      <c r="E17" s="5">
        <v>44</v>
      </c>
      <c r="F17" t="str">
        <f>IF(Rezultati[[#This Row],[Točke]]&gt;50,"da","ne")</f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>IF(Rezultati[[#This Row],[Točke]]&gt;50,"da","ne")</f>
        <v>da</v>
      </c>
    </row>
    <row r="19" spans="2:6" x14ac:dyDescent="0.25">
      <c r="B19" s="5" t="s">
        <v>24</v>
      </c>
      <c r="C19" s="5" t="s">
        <v>25</v>
      </c>
      <c r="D19" t="s">
        <v>15</v>
      </c>
      <c r="E19" s="5">
        <v>30</v>
      </c>
      <c r="F19" t="str">
        <f>IF(Rezultati[[#This Row],[Točke]]&gt;50,"da","ne")</f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>IF(Rezultati[[#This Row],[Točke]]&gt;50,"da","ne")</f>
        <v>da</v>
      </c>
    </row>
    <row r="21" spans="2:6" x14ac:dyDescent="0.25">
      <c r="B21" s="5" t="s">
        <v>50</v>
      </c>
      <c r="C21" s="5" t="s">
        <v>51</v>
      </c>
      <c r="D21" t="s">
        <v>9</v>
      </c>
      <c r="E21" s="5">
        <v>43</v>
      </c>
      <c r="F21" t="str">
        <f>IF(Rezultati[[#This Row],[Točke]]&gt;50,"da","ne")</f>
        <v>ne</v>
      </c>
    </row>
    <row r="22" spans="2:6" x14ac:dyDescent="0.25">
      <c r="B22" s="5" t="s">
        <v>60</v>
      </c>
      <c r="C22" s="5" t="s">
        <v>61</v>
      </c>
      <c r="D22" t="s">
        <v>9</v>
      </c>
      <c r="E22" s="5">
        <v>38</v>
      </c>
      <c r="F22" t="str">
        <f>IF(Rezultati[[#This Row],[Točke]]&gt;50,"da","ne")</f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>IF(Rezultati[[#This Row],[Točke]]&gt;50,"da","ne")</f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>IF(Rezultati[[#This Row],[Točke]]&gt;50,"da","ne")</f>
        <v>da</v>
      </c>
    </row>
    <row r="25" spans="2:6" x14ac:dyDescent="0.25">
      <c r="B25" s="5" t="s">
        <v>56</v>
      </c>
      <c r="C25" s="5" t="s">
        <v>57</v>
      </c>
      <c r="D25" t="s">
        <v>9</v>
      </c>
      <c r="E25" s="5">
        <v>34</v>
      </c>
      <c r="F25" t="str">
        <f>IF(Rezultati[[#This Row],[Točke]]&gt;50,"da","ne")</f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>IF(Rezultati[[#This Row],[Točke]]&gt;50,"da","ne")</f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>IF(Rezultati[[#This Row],[Točke]]&gt;50,"da","ne")</f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>IF(Rezultati[[#This Row],[Točke]]&gt;50,"da","ne")</f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>IF(Rezultati[[#This Row],[Točke]]&gt;50,"da","ne")</f>
        <v>da</v>
      </c>
    </row>
    <row r="30" spans="2:6" x14ac:dyDescent="0.25">
      <c r="B30" s="5" t="s">
        <v>32</v>
      </c>
      <c r="C30" s="5" t="s">
        <v>33</v>
      </c>
      <c r="D30" t="s">
        <v>9</v>
      </c>
      <c r="E30" s="5">
        <v>46</v>
      </c>
      <c r="F30" t="str">
        <f>IF(Rezultati[[#This Row],[Točke]]&gt;50,"da","ne")</f>
        <v>ne</v>
      </c>
    </row>
  </sheetData>
  <conditionalFormatting sqref="B3">
    <cfRule type="expression" dxfId="6" priority="7">
      <formula>$E$3&lt;50</formula>
    </cfRule>
  </conditionalFormatting>
  <conditionalFormatting sqref="C3">
    <cfRule type="expression" dxfId="5" priority="6">
      <formula>$E$3&lt;50</formula>
    </cfRule>
  </conditionalFormatting>
  <conditionalFormatting sqref="E3">
    <cfRule type="expression" dxfId="7" priority="5">
      <formula>$E$3</formula>
    </cfRule>
  </conditionalFormatting>
  <conditionalFormatting sqref="B4:C4">
    <cfRule type="expression" dxfId="4" priority="4">
      <formula>$E$4&lt;50</formula>
    </cfRule>
  </conditionalFormatting>
  <conditionalFormatting sqref="B5:C5">
    <cfRule type="expression" dxfId="3" priority="3">
      <formula>$E$5&lt;50</formula>
    </cfRule>
  </conditionalFormatting>
  <conditionalFormatting sqref="B6:C6">
    <cfRule type="expression" dxfId="2" priority="2">
      <formula>$E$6&lt;50</formula>
    </cfRule>
  </conditionalFormatting>
  <conditionalFormatting sqref="B7:C7">
    <cfRule type="expression" dxfId="0" priority="1">
      <formula>$E$7&lt;50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Svetec, Maša</cp:lastModifiedBy>
  <dcterms:created xsi:type="dcterms:W3CDTF">2007-11-10T02:36:44Z</dcterms:created>
  <dcterms:modified xsi:type="dcterms:W3CDTF">2025-12-08T17:37:01Z</dcterms:modified>
</cp:coreProperties>
</file>